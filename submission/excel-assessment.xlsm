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25a4fdae9961372/Desktop/MapUp/MapUp-Data-Assessment-F/submission/"/>
    </mc:Choice>
  </mc:AlternateContent>
  <xr:revisionPtr revIDLastSave="0" documentId="13_ncr:1_{D5E53A54-8DFD-4C83-A934-2A55A48615F4}" xr6:coauthVersionLast="47" xr6:coauthVersionMax="47" xr10:uidLastSave="{00000000-0000-0000-0000-000000000000}"/>
  <bookViews>
    <workbookView xWindow="-108" yWindow="-108" windowWidth="23256" windowHeight="138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 a="1"/>
  <c r="C24" i="20"/>
  <c r="C25" i="20" a="1"/>
  <c r="C25" i="20"/>
  <c r="C26" i="20" a="1"/>
  <c r="C26" i="20"/>
  <c r="C27" i="20" a="1"/>
  <c r="C27" i="20"/>
  <c r="C28" i="20" a="1"/>
  <c r="C28" i="20"/>
  <c r="C29" i="20" a="1"/>
  <c r="C29" i="20"/>
  <c r="C30" i="20" a="1"/>
  <c r="C30" i="20"/>
  <c r="C31" i="20" a="1"/>
  <c r="C31" i="20"/>
  <c r="C32" i="20" a="1"/>
  <c r="C32" i="20"/>
  <c r="C33" i="20" a="1"/>
  <c r="C33" i="20"/>
  <c r="C34" i="20" a="1"/>
  <c r="C34" i="20"/>
  <c r="C35" i="20" a="1"/>
  <c r="C35" i="20"/>
  <c r="C23" i="20" a="1"/>
  <c r="C23" i="20" s="1"/>
  <c r="H24" i="20"/>
  <c r="H25" i="20"/>
  <c r="H26" i="20"/>
  <c r="H27" i="20"/>
  <c r="H28" i="20"/>
  <c r="H29" i="20"/>
  <c r="H30" i="20"/>
  <c r="H31" i="20"/>
  <c r="H32" i="20"/>
  <c r="H33" i="20"/>
  <c r="H34" i="20"/>
  <c r="H35" i="20"/>
  <c r="H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C22" i="19"/>
  <c r="B7" i="18"/>
  <c r="B28" i="18" s="1"/>
  <c r="C7" i="18"/>
  <c r="C30" i="18" s="1"/>
  <c r="D7" i="18"/>
  <c r="D28" i="18" s="1"/>
  <c r="E7" i="18"/>
  <c r="F7" i="18"/>
  <c r="B8" i="18"/>
  <c r="C8" i="18"/>
  <c r="D8" i="18"/>
  <c r="E8" i="18"/>
  <c r="F8" i="18"/>
  <c r="B9" i="18"/>
  <c r="C9" i="18"/>
  <c r="D9" i="18"/>
  <c r="E9" i="18"/>
  <c r="E28" i="18" s="1"/>
  <c r="F9" i="18"/>
  <c r="F28" i="18" s="1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F30" i="18" s="1"/>
  <c r="E6" i="18"/>
  <c r="E30" i="18" s="1"/>
  <c r="D6" i="18"/>
  <c r="D29" i="18" s="1"/>
  <c r="C6" i="18"/>
  <c r="C29" i="18" s="1"/>
  <c r="B6" i="18"/>
  <c r="B30" i="18" s="1"/>
  <c r="H42" i="1"/>
  <c r="D30" i="18" l="1"/>
  <c r="C28" i="18"/>
  <c r="B29" i="18"/>
  <c r="F29" i="18"/>
  <c r="E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<sst xmlns="http://schemas.openxmlformats.org/spreadsheetml/2006/main" count="452" uniqueCount="224">
  <si>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</si>
  <si>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</si>
  <si>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</si>
  <si>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</si>
  <si>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</si>
  <si>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</si>
  <si>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</si>
  <si>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</si>
  <si>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</si>
  <si>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</si>
  <si>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</si>
  <si>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</si>
  <si>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</si>
  <si>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</si>
  <si>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</si>
  <si>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</si>
  <si>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</si>
  <si>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</si>
  <si>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</si>
  <si>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</si>
  <si>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</si>
  <si>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</si>
  <si>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</si>
  <si>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</si>
  <si>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</si>
  <si>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</si>
  <si>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</si>
  <si>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</si>
  <si>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</si>
  <si>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</si>
  <si>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</si>
  <si>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</si>
  <si>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</si>
  <si>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</si>
  <si>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</si>
  <si>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</si>
  <si>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</si>
  <si>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</si>
  <si>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</si>
  <si>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</si>
  <si>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</si>
  <si>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</si>
  <si>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</si>
  <si>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</si>
  <si>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</si>
  <si>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</si>
  <si>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</si>
  <si>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</si>
  <si>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</si>
  <si>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</si>
  <si>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</si>
  <si>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</si>
  <si>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</si>
  <si>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</si>
  <si>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</si>
  <si>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</si>
  <si>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</si>
  <si>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</si>
  <si>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</si>
  <si>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</si>
  <si>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</si>
  <si>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</si>
  <si>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</si>
  <si>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</si>
  <si>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</si>
  <si>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</si>
  <si>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</si>
  <si>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</si>
  <si>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</si>
  <si>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</si>
  <si>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</si>
  <si>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</si>
  <si>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</si>
  <si>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</si>
  <si>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</si>
  <si>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</si>
  <si>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</si>
  <si>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</si>
  <si>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</si>
  <si>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</si>
  <si>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</si>
  <si>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</si>
  <si>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</si>
  <si>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</si>
  <si>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</si>
  <si>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</si>
  <si>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</si>
  <si>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</si>
  <si>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</si>
  <si>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</si>
  <si>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</si>
  <si>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</si>
  <si>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</si>
  <si>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</si>
  <si>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</si>
  <si>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</si>
  <si>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</si>
  <si>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</si>
  <si>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</si>
  <si>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</si>
  <si>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</si>
  <si>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</si>
  <si>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</si>
  <si>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</si>
  <si>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</si>
  <si>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</si>
  <si>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</si>
  <si>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</si>
  <si>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</si>
  <si>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</si>
  <si>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</si>
  <si>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</si>
  <si>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</si>
  <si>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</si>
  <si>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</si>
  <si>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</si>
  <si>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</si>
  <si>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</si>
  <si>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</si>
  <si>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</si>
  <si>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</si>
  <si>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</si>
  <si>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</si>
  <si>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</si>
  <si>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</si>
  <si>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</si>
  <si>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</si>
  <si>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</si>
  <si>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</si>
  <si>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</si>
  <si>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</si>
  <si>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</si>
  <si>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</si>
  <si>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</si>
  <si>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</si>
  <si>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</si>
  <si>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</si>
  <si>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</si>
  <si>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</si>
  <si>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</si>
  <si>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</si>
  <si>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</si>
  <si>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</si>
  <si>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</si>
  <si>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</si>
  <si>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</si>
  <si>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</si>
  <si>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</si>
  <si>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</si>
  <si>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</si>
  <si>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</si>
  <si>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</si>
  <si>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</si>
  <si>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</si>
  <si>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</si>
  <si>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</si>
  <si>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</si>
  <si>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</si>
  <si>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</si>
  <si>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</si>
  <si>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</si>
  <si>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</si>
  <si>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</si>
  <si>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</si>
  <si>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</si>
  <si>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</si>
  <si>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</si>
  <si>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</si>
  <si>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</si>
  <si>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</si>
  <si>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</si>
  <si>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</si>
  <si>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</si>
  <si>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</si>
  <si>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</si>
  <si>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</si>
  <si>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</si>
  <si>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formula=SUMIF(H2:H40, "&gt;20")</t>
  </si>
  <si>
    <t>formula =TEXT(X2:X40, "YYYY-MM-DD")</t>
  </si>
  <si>
    <t>2023-05-05</t>
  </si>
  <si>
    <t>2023-05-02</t>
  </si>
  <si>
    <t>2023-05-09</t>
  </si>
  <si>
    <t>2023-05-13</t>
  </si>
  <si>
    <t>2023-05-30</t>
  </si>
  <si>
    <t>2023-05-11</t>
  </si>
  <si>
    <t>2023-05-06</t>
  </si>
  <si>
    <t>2023-06-21</t>
  </si>
  <si>
    <t>2023-06-15</t>
  </si>
  <si>
    <t>2023-06-27</t>
  </si>
  <si>
    <t>2023-07-09</t>
  </si>
  <si>
    <t>2023-07-03</t>
  </si>
  <si>
    <t>2023-06-18</t>
  </si>
  <si>
    <t>2023-07-06</t>
  </si>
  <si>
    <t>2023-05-17</t>
  </si>
  <si>
    <t>2023-05-25</t>
  </si>
  <si>
    <t>2023-06-08</t>
  </si>
  <si>
    <t>2023-06-22</t>
  </si>
  <si>
    <t>2023-06-14</t>
  </si>
  <si>
    <t>2023-06-02</t>
  </si>
  <si>
    <t>2023-05-29</t>
  </si>
  <si>
    <t>2023-07-07</t>
  </si>
  <si>
    <t>2023-07-11</t>
  </si>
  <si>
    <t>2023-08-04</t>
  </si>
  <si>
    <t>2023-08-08</t>
  </si>
  <si>
    <t>2023-07-01</t>
  </si>
  <si>
    <t>2023-08-15</t>
  </si>
  <si>
    <t>2023-08-12</t>
  </si>
  <si>
    <t>2023-08-19</t>
  </si>
  <si>
    <t>2023-08-05</t>
  </si>
  <si>
    <t>2023-08-28</t>
  </si>
  <si>
    <t>2023-08-24</t>
  </si>
  <si>
    <t>2023-08-22</t>
  </si>
  <si>
    <t>2023-09-10</t>
  </si>
  <si>
    <t>view+freeze panes+freeze top row</t>
  </si>
  <si>
    <t>TEXT TO COLUMN</t>
  </si>
  <si>
    <t>USED TEXT TO COLUMN FUNCTION AND USED "-" AS DELIMITER</t>
  </si>
  <si>
    <t>FIND &amp; REPLACE AND SUM FORMULA</t>
  </si>
  <si>
    <t>REPLACE ALL THE #N/A WITH VALUE 20 THEN SUM UP ALL VALUES IN THE RANGE</t>
  </si>
  <si>
    <t>NAME1</t>
  </si>
  <si>
    <t>NAME2</t>
  </si>
  <si>
    <t>POSITION 1</t>
  </si>
  <si>
    <t>POSITION 2</t>
  </si>
  <si>
    <t>VLOOKUP, INDEX &amp; MATCH FUNCTION</t>
  </si>
  <si>
    <t>VLOOKUP USED TO FIND NAME BASED ON ID, FROM NAME USING MATCH FUNCTION POSITION NO IS EXTRACTED, THEN USING INDEX FUNTION RESPECTIVE VALUE FROM ARRAY IS SEARCHED.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</si>
</sst>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0" fontId="3" fillId="7" borderId="0" xfId="0" applyFont="1" applyFill="1"/>
    <xf numFmtId="0" fontId="7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4.4" x14ac:dyDescent="0.3"/>
  <cols>
    <col min="1" max="1" width="25.44140625" style="1" bestFit="1" customWidth="1"/>
    <col min="2" max="2" width="7.44140625" style="1" customWidth="1"/>
    <col min="3" max="3" width="9.77734375" style="1" customWidth="1"/>
    <col min="4" max="4" width="11" style="24" customWidth="1"/>
    <col min="5" max="5" width="9.21875" style="1" customWidth="1"/>
    <col min="6" max="6" width="10.44140625" style="24" customWidth="1"/>
    <col min="7" max="7" width="12.77734375" style="1" bestFit="1" customWidth="1"/>
    <col min="8" max="9" width="12.77734375" style="1" customWidth="1"/>
    <col min="10" max="12" width="13" style="1" customWidth="1"/>
    <col min="13" max="13" width="14.21875" style="1" bestFit="1" customWidth="1"/>
    <col min="14" max="15" width="14.21875" style="1" customWidth="1"/>
    <col min="16" max="17" width="14.44140625" style="1" customWidth="1"/>
    <col min="18" max="18" width="14.44140625" style="1" bestFit="1" customWidth="1"/>
    <col min="19" max="19" width="18.77734375" style="1" customWidth="1"/>
    <col min="20" max="20" width="18.77734375" style="1" bestFit="1" customWidth="1"/>
    <col min="21" max="21" width="19" style="1" customWidth="1"/>
    <col min="22" max="22" width="19" style="1" bestFit="1" customWidth="1"/>
    <col min="23" max="23" width="19" style="1" customWidth="1"/>
    <col min="24" max="24" width="12.5546875" style="49" customWidth="1"/>
    <col min="25" max="16384" width="9" style="1"/>
  </cols>
  <sheetData>
    <row r="1" spans="1:24" s="3" customForma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5">
        <v>-1</v>
      </c>
      <c r="K2" s="45">
        <v>-1</v>
      </c>
      <c r="L2" s="45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 t="s">
        <v>179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5">
        <v>-1</v>
      </c>
      <c r="K3" s="45">
        <v>-1</v>
      </c>
      <c r="L3" s="45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 t="s">
        <v>180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5">
        <v>-1</v>
      </c>
      <c r="K4" s="45">
        <v>-1</v>
      </c>
      <c r="L4" s="45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 t="s">
        <v>181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5">
        <v>-1</v>
      </c>
      <c r="K5" s="45">
        <v>-1</v>
      </c>
      <c r="L5" s="45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 t="s">
        <v>182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5">
        <v>-1</v>
      </c>
      <c r="K6" s="45">
        <v>-1</v>
      </c>
      <c r="L6" s="45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 t="s">
        <v>183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5">
        <v>-1</v>
      </c>
      <c r="K7" s="45">
        <v>-1</v>
      </c>
      <c r="L7" s="45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 t="s">
        <v>184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5">
        <v>-1</v>
      </c>
      <c r="K8" s="45">
        <v>-1</v>
      </c>
      <c r="L8" s="45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 t="s">
        <v>185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5">
        <v>-1</v>
      </c>
      <c r="K9" s="45">
        <v>-1</v>
      </c>
      <c r="L9" s="45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 t="s">
        <v>186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5">
        <v>-1</v>
      </c>
      <c r="K10" s="45">
        <v>-1</v>
      </c>
      <c r="L10" s="45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 t="s">
        <v>187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5">
        <v>-1</v>
      </c>
      <c r="K11" s="45">
        <v>-1</v>
      </c>
      <c r="L11" s="45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 t="s">
        <v>188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</v>
      </c>
      <c r="O12" s="46">
        <v>0</v>
      </c>
      <c r="P12" s="46">
        <v>0</v>
      </c>
      <c r="Q12" s="46">
        <v>0</v>
      </c>
      <c r="R12" s="46">
        <v>0</v>
      </c>
      <c r="S12" s="46">
        <v>0</v>
      </c>
      <c r="T12" s="46">
        <v>0</v>
      </c>
      <c r="U12" s="46">
        <v>0</v>
      </c>
      <c r="V12" s="46">
        <v>0</v>
      </c>
      <c r="W12" s="46">
        <v>0</v>
      </c>
      <c r="X12" s="48" t="s">
        <v>189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5">
        <v>-1</v>
      </c>
      <c r="K13" s="45">
        <v>-1</v>
      </c>
      <c r="L13" s="45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 t="s">
        <v>190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5">
        <v>-1</v>
      </c>
      <c r="K14" s="45">
        <v>-1</v>
      </c>
      <c r="L14" s="45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 t="s">
        <v>191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5">
        <v>-1</v>
      </c>
      <c r="K15" s="45">
        <v>-1</v>
      </c>
      <c r="L15" s="45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 t="s">
        <v>192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5">
        <v>-1</v>
      </c>
      <c r="K16" s="45">
        <v>-1</v>
      </c>
      <c r="L16" s="45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 t="s">
        <v>193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5">
        <v>-1</v>
      </c>
      <c r="K17" s="45">
        <v>-1</v>
      </c>
      <c r="L17" s="45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 t="s">
        <v>194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5">
        <v>-1</v>
      </c>
      <c r="K18" s="45">
        <v>-1</v>
      </c>
      <c r="L18" s="45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 t="s">
        <v>195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5">
        <v>-1</v>
      </c>
      <c r="K19" s="45">
        <v>-1</v>
      </c>
      <c r="L19" s="45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 t="s">
        <v>196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5">
        <v>-1</v>
      </c>
      <c r="K20" s="45">
        <v>-1</v>
      </c>
      <c r="L20" s="45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 t="s">
        <v>197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5">
        <v>-1</v>
      </c>
      <c r="K21" s="45">
        <v>-1</v>
      </c>
      <c r="L21" s="45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 t="s">
        <v>198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5">
        <v>-1</v>
      </c>
      <c r="K22" s="45">
        <v>-1</v>
      </c>
      <c r="L22" s="45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 t="s">
        <v>199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5">
        <v>-1</v>
      </c>
      <c r="K23" s="45">
        <v>-1</v>
      </c>
      <c r="L23" s="45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 t="s">
        <v>190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5">
        <v>-1</v>
      </c>
      <c r="K24" s="45">
        <v>-1</v>
      </c>
      <c r="L24" s="45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 t="s">
        <v>200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5">
        <v>-1</v>
      </c>
      <c r="K25" s="45">
        <v>-1</v>
      </c>
      <c r="L25" s="45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 t="s">
        <v>201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8" t="s">
        <v>202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5">
        <v>-1</v>
      </c>
      <c r="K27" s="45">
        <v>-1</v>
      </c>
      <c r="L27" s="45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 t="s">
        <v>203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5">
        <v>-1</v>
      </c>
      <c r="K28" s="45">
        <v>-1</v>
      </c>
      <c r="L28" s="45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 t="s">
        <v>204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5">
        <v>-1</v>
      </c>
      <c r="K29" s="45">
        <v>-1</v>
      </c>
      <c r="L29" s="45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 t="s">
        <v>205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5">
        <v>-1</v>
      </c>
      <c r="H30" s="45">
        <v>-1</v>
      </c>
      <c r="I30" s="45">
        <v>-1</v>
      </c>
      <c r="J30" s="45">
        <v>-1</v>
      </c>
      <c r="K30" s="45">
        <v>-1</v>
      </c>
      <c r="L30" s="45">
        <v>-1</v>
      </c>
      <c r="M30" s="45">
        <v>-1</v>
      </c>
      <c r="N30" s="45">
        <v>-1</v>
      </c>
      <c r="O30" s="45">
        <v>-1</v>
      </c>
      <c r="P30" s="45">
        <v>-1</v>
      </c>
      <c r="Q30" s="45">
        <v>-1</v>
      </c>
      <c r="R30" s="45">
        <v>-1</v>
      </c>
      <c r="S30" s="45">
        <v>-1</v>
      </c>
      <c r="T30" s="45">
        <v>-1</v>
      </c>
      <c r="U30" s="45">
        <v>-1</v>
      </c>
      <c r="V30" s="45">
        <v>-1</v>
      </c>
      <c r="W30" s="45">
        <v>-1</v>
      </c>
      <c r="X30" s="48" t="s">
        <v>206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5">
        <v>-1</v>
      </c>
      <c r="K31" s="45">
        <v>-1</v>
      </c>
      <c r="L31" s="45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 t="s">
        <v>207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5">
        <v>-1</v>
      </c>
      <c r="H32" s="45">
        <v>-1</v>
      </c>
      <c r="I32" s="45">
        <v>-1</v>
      </c>
      <c r="J32" s="45">
        <v>-1</v>
      </c>
      <c r="K32" s="45">
        <v>-1</v>
      </c>
      <c r="L32" s="45">
        <v>-1</v>
      </c>
      <c r="M32" s="45">
        <v>-1</v>
      </c>
      <c r="N32" s="45">
        <v>-1</v>
      </c>
      <c r="O32" s="45">
        <v>-1</v>
      </c>
      <c r="P32" s="45">
        <v>-1</v>
      </c>
      <c r="Q32" s="45">
        <v>-1</v>
      </c>
      <c r="R32" s="45">
        <v>-1</v>
      </c>
      <c r="S32" s="45">
        <v>-1</v>
      </c>
      <c r="T32" s="45">
        <v>-1</v>
      </c>
      <c r="U32" s="45">
        <v>-1</v>
      </c>
      <c r="V32" s="45">
        <v>-1</v>
      </c>
      <c r="W32" s="45">
        <v>-1</v>
      </c>
      <c r="X32" s="48" t="s">
        <v>208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5">
        <v>-1</v>
      </c>
      <c r="K33" s="45">
        <v>-1</v>
      </c>
      <c r="L33" s="45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 t="s">
        <v>209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5">
        <v>-1</v>
      </c>
      <c r="K34" s="45">
        <v>-1</v>
      </c>
      <c r="L34" s="45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 t="s">
        <v>210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5">
        <v>-1</v>
      </c>
      <c r="K35" s="45">
        <v>-1</v>
      </c>
      <c r="L35" s="45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 t="s">
        <v>211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5">
        <v>-1</v>
      </c>
      <c r="K36" s="45">
        <v>-1</v>
      </c>
      <c r="L36" s="45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 t="s">
        <v>212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5">
        <v>-1</v>
      </c>
      <c r="K37" s="45">
        <v>-1</v>
      </c>
      <c r="L37" s="45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 t="s">
        <v>207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5">
        <v>-1</v>
      </c>
      <c r="K38" s="45">
        <v>-1</v>
      </c>
      <c r="L38" s="45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 t="s">
        <v>208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5">
        <v>-1</v>
      </c>
      <c r="K39" s="45">
        <v>-1</v>
      </c>
      <c r="L39" s="45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 t="s">
        <v>209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5">
        <v>-1</v>
      </c>
      <c r="K40" s="45">
        <v>-1</v>
      </c>
      <c r="L40" s="45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 t="s">
        <v>210</v>
      </c>
    </row>
    <row r="42" spans="1:24" x14ac:dyDescent="0.3">
      <c r="H42" s="1">
        <f>SUMIF(H2:H40, "&gt;20")</f>
        <v>1473.0000000000002</v>
      </c>
    </row>
    <row r="43" spans="1:24" s="50" customFormat="1" x14ac:dyDescent="0.3">
      <c r="A43" s="50">
        <v>1</v>
      </c>
      <c r="B43" s="50">
        <v>2</v>
      </c>
      <c r="C43" s="50">
        <v>3</v>
      </c>
      <c r="D43" s="50">
        <v>4</v>
      </c>
      <c r="E43" s="50">
        <v>5</v>
      </c>
      <c r="F43" s="50">
        <v>6</v>
      </c>
      <c r="G43" s="50">
        <v>7</v>
      </c>
      <c r="H43" s="50">
        <v>8</v>
      </c>
      <c r="I43" s="50">
        <v>9</v>
      </c>
      <c r="J43" s="50">
        <v>10</v>
      </c>
      <c r="K43" s="50">
        <v>11</v>
      </c>
      <c r="L43" s="50">
        <v>12</v>
      </c>
      <c r="M43" s="50">
        <v>13</v>
      </c>
      <c r="N43" s="50">
        <v>14</v>
      </c>
      <c r="O43" s="50">
        <v>15</v>
      </c>
      <c r="P43" s="50">
        <v>16</v>
      </c>
      <c r="Q43" s="50">
        <v>17</v>
      </c>
      <c r="R43" s="50">
        <v>18</v>
      </c>
      <c r="S43" s="50">
        <v>19</v>
      </c>
      <c r="T43" s="50">
        <v>20</v>
      </c>
      <c r="U43" s="50">
        <v>21</v>
      </c>
      <c r="V43" s="50">
        <v>22</v>
      </c>
      <c r="W43" s="50">
        <v>23</v>
      </c>
      <c r="X43" s="50">
        <v>24</v>
      </c>
    </row>
  </sheetData>
  <autoFilter ref="A1:X40" xr:uid="{00000000-0001-0000-0000-000000000000}"/>
  <conditionalFormatting sqref="A1:A1048576 C43 E43 G43 I43 K43 M43 O43 Q43 S43 U43 W43 Y43 AA43 AC43">
    <cfRule type="duplicateValues" dxfId="1" priority="2"/>
  </conditionalFormatting>
  <conditionalFormatting sqref="B1:B1048576 D43 F43 H43 J43 L43 N43 P43 R43 T43 V43 X43 Z43 AB43 AD43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5" sqref="C1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32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213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6" sqref="D6:D2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>
        <v>7</v>
      </c>
      <c r="C4" s="1">
        <v>14</v>
      </c>
      <c r="D4" s="1">
        <v>18</v>
      </c>
      <c r="E4" s="1">
        <v>20</v>
      </c>
      <c r="F4" s="1">
        <v>22</v>
      </c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VLOOKUP(A6,Dataset!A:X,7,0)</f>
        <v>2.7</v>
      </c>
      <c r="C6" s="12">
        <f>VLOOKUP(A6,Dataset!A:X,14,0)</f>
        <v>7.6</v>
      </c>
      <c r="D6" s="12">
        <f>VLOOKUP(A6,Dataset!A:X,18,0)</f>
        <v>4.2</v>
      </c>
      <c r="E6" s="12">
        <f>VLOOKUP(A6,Dataset!A:X,20,0)</f>
        <v>8.9</v>
      </c>
      <c r="F6" s="8">
        <f>VLOOKUP(A6,Dataset!A:X,22,0)</f>
        <v>4.2</v>
      </c>
    </row>
    <row r="7" spans="1:7" ht="14.4" x14ac:dyDescent="0.3">
      <c r="A7" s="7" t="s">
        <v>4</v>
      </c>
      <c r="B7" s="12">
        <f>VLOOKUP(A7,Dataset!A:X,7,0)</f>
        <v>2.7</v>
      </c>
      <c r="C7" s="12">
        <f>VLOOKUP(A7,Dataset!A:X,14,0)</f>
        <v>7.6</v>
      </c>
      <c r="D7" s="12">
        <f>VLOOKUP(A7,Dataset!A:X,18,0)</f>
        <v>4.2</v>
      </c>
      <c r="E7" s="12">
        <f>VLOOKUP(A7,Dataset!A:X,20,0)</f>
        <v>8.9</v>
      </c>
      <c r="F7" s="8">
        <f>VLOOKUP(A7,Dataset!A:X,22,0)</f>
        <v>4.2</v>
      </c>
    </row>
    <row r="8" spans="1:7" ht="14.4" x14ac:dyDescent="0.3">
      <c r="A8" s="7" t="s">
        <v>7</v>
      </c>
      <c r="B8" s="12">
        <f>VLOOKUP(A8,Dataset!A:X,7,0)</f>
        <v>3.6</v>
      </c>
      <c r="C8" s="12">
        <f>VLOOKUP(A8,Dataset!A:X,14,0)</f>
        <v>11.1</v>
      </c>
      <c r="D8" s="12">
        <f>VLOOKUP(A8,Dataset!A:X,18,0)</f>
        <v>5.8</v>
      </c>
      <c r="E8" s="12">
        <f>VLOOKUP(A8,Dataset!A:X,20,0)</f>
        <v>12.2</v>
      </c>
      <c r="F8" s="8">
        <f>VLOOKUP(A8,Dataset!A:X,22,0)</f>
        <v>5.8</v>
      </c>
    </row>
    <row r="9" spans="1:7" ht="14.4" x14ac:dyDescent="0.3">
      <c r="A9" s="7" t="s">
        <v>8</v>
      </c>
      <c r="B9" s="12">
        <f>VLOOKUP(A9,Dataset!A:X,7,0)</f>
        <v>4.9000000000000004</v>
      </c>
      <c r="C9" s="12">
        <f>VLOOKUP(A9,Dataset!A:X,14,0)</f>
        <v>13.3</v>
      </c>
      <c r="D9" s="12">
        <f>VLOOKUP(A9,Dataset!A:X,18,0)</f>
        <v>8.1</v>
      </c>
      <c r="E9" s="12">
        <f>VLOOKUP(A9,Dataset!A:X,20,0)</f>
        <v>17</v>
      </c>
      <c r="F9" s="8">
        <f>VLOOKUP(A9,Dataset!A:X,22,0)</f>
        <v>8.1</v>
      </c>
    </row>
    <row r="10" spans="1:7" ht="14.4" x14ac:dyDescent="0.3">
      <c r="A10" s="7" t="s">
        <v>11</v>
      </c>
      <c r="B10" s="12">
        <f>VLOOKUP(A10,Dataset!A:X,7,0)</f>
        <v>9.4</v>
      </c>
      <c r="C10" s="12">
        <f>VLOOKUP(A10,Dataset!A:X,14,0)</f>
        <v>28.3</v>
      </c>
      <c r="D10" s="12">
        <f>VLOOKUP(A10,Dataset!A:X,18,0)</f>
        <v>16.100000000000001</v>
      </c>
      <c r="E10" s="12">
        <f>VLOOKUP(A10,Dataset!A:X,20,0)</f>
        <v>32.799999999999997</v>
      </c>
      <c r="F10" s="8">
        <f>VLOOKUP(A10,Dataset!A:X,22,0)</f>
        <v>16.100000000000001</v>
      </c>
    </row>
    <row r="11" spans="1:7" ht="14.4" x14ac:dyDescent="0.3">
      <c r="A11" s="7" t="s">
        <v>12</v>
      </c>
      <c r="B11" s="12">
        <f>VLOOKUP(A11,Dataset!A:X,7,0)</f>
        <v>11.6</v>
      </c>
      <c r="C11" s="12">
        <f>VLOOKUP(A11,Dataset!A:X,14,0)</f>
        <v>35.200000000000003</v>
      </c>
      <c r="D11" s="12">
        <f>VLOOKUP(A11,Dataset!A:X,18,0)</f>
        <v>21.3</v>
      </c>
      <c r="E11" s="12">
        <f>VLOOKUP(A11,Dataset!A:X,20,0)</f>
        <v>43</v>
      </c>
      <c r="F11" s="8">
        <f>VLOOKUP(A11,Dataset!A:X,22,0)</f>
        <v>21.3</v>
      </c>
    </row>
    <row r="12" spans="1:7" ht="14.4" x14ac:dyDescent="0.3">
      <c r="A12" s="7" t="s">
        <v>14</v>
      </c>
      <c r="B12" s="12">
        <f>VLOOKUP(A12,Dataset!A:X,7,0)</f>
        <v>18.399999999999999</v>
      </c>
      <c r="C12" s="12">
        <f>VLOOKUP(A12,Dataset!A:X,14,0)</f>
        <v>55.6</v>
      </c>
      <c r="D12" s="12">
        <f>VLOOKUP(A12,Dataset!A:X,18,0)</f>
        <v>33.799999999999997</v>
      </c>
      <c r="E12" s="12">
        <f>VLOOKUP(A12,Dataset!A:X,20,0)</f>
        <v>67.900000000000006</v>
      </c>
      <c r="F12" s="8">
        <f>VLOOKUP(A12,Dataset!A:X,22,0)</f>
        <v>33.799999999999997</v>
      </c>
    </row>
    <row r="13" spans="1:7" ht="14.4" x14ac:dyDescent="0.3">
      <c r="A13" s="7" t="s">
        <v>15</v>
      </c>
      <c r="B13" s="12">
        <f>VLOOKUP(A13,Dataset!A:X,7,0)</f>
        <v>0</v>
      </c>
      <c r="C13" s="12">
        <f>VLOOKUP(A13,Dataset!A:X,14,0)</f>
        <v>0</v>
      </c>
      <c r="D13" s="12">
        <f>VLOOKUP(A13,Dataset!A:X,18,0)</f>
        <v>0</v>
      </c>
      <c r="E13" s="12">
        <f>VLOOKUP(A13,Dataset!A:X,20,0)</f>
        <v>0</v>
      </c>
      <c r="F13" s="8">
        <f>VLOOKUP(A13,Dataset!A:X,22,0)</f>
        <v>0</v>
      </c>
    </row>
    <row r="14" spans="1:7" ht="14.4" x14ac:dyDescent="0.3">
      <c r="A14" s="7" t="s">
        <v>16</v>
      </c>
      <c r="B14" s="12">
        <f>VLOOKUP(A14,Dataset!A:X,7,0)</f>
        <v>21.9</v>
      </c>
      <c r="C14" s="12">
        <f>VLOOKUP(A14,Dataset!A:X,14,0)</f>
        <v>61.5</v>
      </c>
      <c r="D14" s="12">
        <f>VLOOKUP(A14,Dataset!A:X,18,0)</f>
        <v>40.1</v>
      </c>
      <c r="E14" s="12">
        <f>VLOOKUP(A14,Dataset!A:X,20,0)</f>
        <v>76.599999999999994</v>
      </c>
      <c r="F14" s="8">
        <f>VLOOKUP(A14,Dataset!A:X,22,0)</f>
        <v>40.1</v>
      </c>
    </row>
    <row r="15" spans="1:7" ht="14.4" x14ac:dyDescent="0.3">
      <c r="A15" s="7" t="s">
        <v>18</v>
      </c>
      <c r="B15" s="12">
        <f>VLOOKUP(A15,Dataset!A:X,7,0)</f>
        <v>26.8</v>
      </c>
      <c r="C15" s="12">
        <f>VLOOKUP(A15,Dataset!A:X,14,0)</f>
        <v>79.599999999999994</v>
      </c>
      <c r="D15" s="12">
        <f>VLOOKUP(A15,Dataset!A:X,18,0)</f>
        <v>47.9</v>
      </c>
      <c r="E15" s="12">
        <f>VLOOKUP(A15,Dataset!A:X,20,0)</f>
        <v>96.8</v>
      </c>
      <c r="F15" s="8">
        <f>VLOOKUP(A15,Dataset!A:X,22,0)</f>
        <v>47.9</v>
      </c>
    </row>
    <row r="16" spans="1:7" ht="14.4" x14ac:dyDescent="0.3">
      <c r="A16" s="7" t="s">
        <v>20</v>
      </c>
      <c r="B16" s="12">
        <f>VLOOKUP(A16,Dataset!A:X,7,0)</f>
        <v>28.5</v>
      </c>
      <c r="C16" s="12">
        <f>VLOOKUP(A16,Dataset!A:X,14,0)</f>
        <v>85.4</v>
      </c>
      <c r="D16" s="12">
        <f>VLOOKUP(A16,Dataset!A:X,18,0)</f>
        <v>52.3</v>
      </c>
      <c r="E16" s="12">
        <f>VLOOKUP(A16,Dataset!A:X,20,0)</f>
        <v>106.1</v>
      </c>
      <c r="F16" s="8">
        <f>VLOOKUP(A16,Dataset!A:X,22,0)</f>
        <v>52.3</v>
      </c>
    </row>
    <row r="17" spans="1:6" ht="14.4" x14ac:dyDescent="0.3">
      <c r="A17" s="7" t="s">
        <v>22</v>
      </c>
      <c r="B17" s="12">
        <f>VLOOKUP(A17,Dataset!A:X,7,0)</f>
        <v>30.7</v>
      </c>
      <c r="C17" s="12">
        <f>VLOOKUP(A17,Dataset!A:X,14,0)</f>
        <v>92.1</v>
      </c>
      <c r="D17" s="12">
        <f>VLOOKUP(A17,Dataset!A:X,18,0)</f>
        <v>57</v>
      </c>
      <c r="E17" s="12">
        <f>VLOOKUP(A17,Dataset!A:X,20,0)</f>
        <v>115.1</v>
      </c>
      <c r="F17" s="8">
        <f>VLOOKUP(A17,Dataset!A:X,22,0)</f>
        <v>57</v>
      </c>
    </row>
    <row r="18" spans="1:6" ht="14.4" x14ac:dyDescent="0.3">
      <c r="A18" s="7" t="s">
        <v>23</v>
      </c>
      <c r="B18" s="12">
        <f>VLOOKUP(A18,Dataset!A:X,7,0)</f>
        <v>33.799999999999997</v>
      </c>
      <c r="C18" s="12">
        <f>VLOOKUP(A18,Dataset!A:X,14,0)</f>
        <v>101.3</v>
      </c>
      <c r="D18" s="12">
        <f>VLOOKUP(A18,Dataset!A:X,18,0)</f>
        <v>61.4</v>
      </c>
      <c r="E18" s="12">
        <f>VLOOKUP(A18,Dataset!A:X,20,0)</f>
        <v>124.4</v>
      </c>
      <c r="F18" s="8">
        <f>VLOOKUP(A18,Dataset!A:X,22,0)</f>
        <v>61.4</v>
      </c>
    </row>
    <row r="19" spans="1:6" ht="14.4" x14ac:dyDescent="0.3">
      <c r="A19" s="7" t="s">
        <v>24</v>
      </c>
      <c r="B19" s="12">
        <f>VLOOKUP(A19,Dataset!A:X,7,0)</f>
        <v>34.700000000000003</v>
      </c>
      <c r="C19" s="12">
        <f>VLOOKUP(A19,Dataset!A:X,14,0)</f>
        <v>106.1</v>
      </c>
      <c r="D19" s="12">
        <f>VLOOKUP(A19,Dataset!A:X,18,0)</f>
        <v>63.6</v>
      </c>
      <c r="E19" s="12">
        <f>VLOOKUP(A19,Dataset!A:X,20,0)</f>
        <v>128.6</v>
      </c>
      <c r="F19" s="8">
        <f>VLOOKUP(A19,Dataset!A:X,22,0)</f>
        <v>63.6</v>
      </c>
    </row>
    <row r="20" spans="1:6" ht="14.4" x14ac:dyDescent="0.3">
      <c r="A20" s="7" t="s">
        <v>28</v>
      </c>
      <c r="B20" s="12">
        <f>VLOOKUP(A20,Dataset!A:X,7,0)</f>
        <v>0</v>
      </c>
      <c r="C20" s="12">
        <f>VLOOKUP(A20,Dataset!A:X,14,0)</f>
        <v>0</v>
      </c>
      <c r="D20" s="12">
        <f>VLOOKUP(A20,Dataset!A:X,18,0)</f>
        <v>0</v>
      </c>
      <c r="E20" s="12">
        <f>VLOOKUP(A20,Dataset!A:X,20,0)</f>
        <v>0</v>
      </c>
      <c r="F20" s="8">
        <f>VLOOKUP(A20,Dataset!A:X,22,0)</f>
        <v>0</v>
      </c>
    </row>
    <row r="21" spans="1:6" ht="14.4" x14ac:dyDescent="0.3">
      <c r="A21" s="7" t="s">
        <v>57</v>
      </c>
      <c r="B21" s="12">
        <f>VLOOKUP(A21,Dataset!A:X,7,0)</f>
        <v>41.3</v>
      </c>
      <c r="C21" s="12">
        <f>VLOOKUP(A21,Dataset!A:X,14,0)</f>
        <v>124.4</v>
      </c>
      <c r="D21" s="12">
        <f>VLOOKUP(A21,Dataset!A:X,18,0)</f>
        <v>75</v>
      </c>
      <c r="E21" s="12">
        <f>VLOOKUP(A21,Dataset!A:X,20,0)</f>
        <v>151.5</v>
      </c>
      <c r="F21" s="8">
        <f>VLOOKUP(A21,Dataset!A:X,22,0)</f>
        <v>75</v>
      </c>
    </row>
    <row r="22" spans="1:6" ht="14.4" x14ac:dyDescent="0.3">
      <c r="A22" s="7" t="s">
        <v>58</v>
      </c>
      <c r="B22" s="12">
        <f>VLOOKUP(A22,Dataset!A:X,7,0)</f>
        <v>-1</v>
      </c>
      <c r="C22" s="12">
        <f>VLOOKUP(A22,Dataset!A:X,14,0)</f>
        <v>-1</v>
      </c>
      <c r="D22" s="12">
        <f>VLOOKUP(A22,Dataset!A:X,18,0)</f>
        <v>-1</v>
      </c>
      <c r="E22" s="12">
        <f>VLOOKUP(A22,Dataset!A:X,20,0)</f>
        <v>-1</v>
      </c>
      <c r="F22" s="8">
        <f>VLOOKUP(A22,Dataset!A:X,22,0)</f>
        <v>-1</v>
      </c>
    </row>
    <row r="23" spans="1:6" ht="14.4" x14ac:dyDescent="0.3">
      <c r="A23" s="7" t="s">
        <v>31</v>
      </c>
      <c r="B23" s="12">
        <f>VLOOKUP(A23,Dataset!A:X,7,0)</f>
        <v>45</v>
      </c>
      <c r="C23" s="12">
        <f>VLOOKUP(A23,Dataset!A:X,14,0)</f>
        <v>133.4</v>
      </c>
      <c r="D23" s="12">
        <f>VLOOKUP(A23,Dataset!A:X,18,0)</f>
        <v>79.400000000000006</v>
      </c>
      <c r="E23" s="12">
        <f>VLOOKUP(A23,Dataset!A:X,20,0)</f>
        <v>160.9</v>
      </c>
      <c r="F23" s="8">
        <f>VLOOKUP(A23,Dataset!A:X,22,0)</f>
        <v>79.400000000000006</v>
      </c>
    </row>
    <row r="24" spans="1:6" ht="14.4" x14ac:dyDescent="0.3">
      <c r="A24" s="7" t="s">
        <v>32</v>
      </c>
      <c r="B24" s="12">
        <f>VLOOKUP(A24,Dataset!A:X,7,0)</f>
        <v>-1</v>
      </c>
      <c r="C24" s="12">
        <f>VLOOKUP(A24,Dataset!A:X,14,0)</f>
        <v>-1</v>
      </c>
      <c r="D24" s="12">
        <f>VLOOKUP(A24,Dataset!A:X,18,0)</f>
        <v>-1</v>
      </c>
      <c r="E24" s="12">
        <f>VLOOKUP(A24,Dataset!A:X,20,0)</f>
        <v>-1</v>
      </c>
      <c r="F24" s="8">
        <f>VLOOKUP(A24,Dataset!A:X,22,0)</f>
        <v>-1</v>
      </c>
    </row>
    <row r="25" spans="1:6" ht="14.4" x14ac:dyDescent="0.3">
      <c r="A25" s="7" t="s">
        <v>34</v>
      </c>
      <c r="B25" s="12">
        <f>VLOOKUP(A25,Dataset!A:X,7,0)</f>
        <v>43.3</v>
      </c>
      <c r="C25" s="12">
        <f>VLOOKUP(A25,Dataset!A:X,14,0)</f>
        <v>128.6</v>
      </c>
      <c r="D25" s="12">
        <f>VLOOKUP(A25,Dataset!A:X,18,0)</f>
        <v>79.400000000000006</v>
      </c>
      <c r="E25" s="12">
        <f>VLOOKUP(A25,Dataset!A:X,20,0)</f>
        <v>160.9</v>
      </c>
      <c r="F25" s="8">
        <f>VLOOKUP(A25,Dataset!A:X,22,0)</f>
        <v>79.400000000000006</v>
      </c>
    </row>
    <row r="26" spans="1:6" ht="14.4" x14ac:dyDescent="0.3">
      <c r="A26" s="7" t="s">
        <v>37</v>
      </c>
      <c r="B26" s="12">
        <f>VLOOKUP(A26,Dataset!A:X,7,0)</f>
        <v>49.1</v>
      </c>
      <c r="C26" s="12">
        <f>VLOOKUP(A26,Dataset!A:X,14,0)</f>
        <v>146.80000000000001</v>
      </c>
      <c r="D26" s="12">
        <f>VLOOKUP(A26,Dataset!A:X,18,0)</f>
        <v>90.9</v>
      </c>
      <c r="E26" s="12">
        <f>VLOOKUP(A26,Dataset!A:X,20,0)</f>
        <v>183.5</v>
      </c>
      <c r="F26" s="8">
        <f>VLOOKUP(A26,Dataset!A:X,22,0)</f>
        <v>90.9</v>
      </c>
    </row>
    <row r="27" spans="1:6" ht="14.4" x14ac:dyDescent="0.3">
      <c r="A27" s="7" t="s">
        <v>39</v>
      </c>
      <c r="B27" s="12">
        <f>VLOOKUP(A27,Dataset!A:X,7,0)</f>
        <v>51.8</v>
      </c>
      <c r="C27" s="12">
        <f>VLOOKUP(A27,Dataset!A:X,14,0)</f>
        <v>156.4</v>
      </c>
      <c r="D27" s="12">
        <f>VLOOKUP(A27,Dataset!A:X,18,0)</f>
        <v>93.1</v>
      </c>
      <c r="E27" s="12">
        <f>VLOOKUP(A27,Dataset!A:X,20,0)</f>
        <v>188.1</v>
      </c>
      <c r="F27" s="8">
        <f>VLOOKUP(A27,Dataset!A:X,22,0)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C8" sqref="C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214</v>
      </c>
    </row>
    <row r="6" spans="1:10" ht="18" x14ac:dyDescent="0.35">
      <c r="A6" s="43" t="s">
        <v>153</v>
      </c>
      <c r="B6" s="40" t="s">
        <v>215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9" sqref="D1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216</v>
      </c>
    </row>
    <row r="7" spans="1:3" ht="14.4" x14ac:dyDescent="0.3">
      <c r="A7" s="3" t="s">
        <v>153</v>
      </c>
      <c r="B7" s="1" t="s">
        <v>217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N8" sqref="N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  <c r="C4" s="2" t="s">
        <v>222</v>
      </c>
    </row>
    <row r="5" spans="1:14" ht="18" x14ac:dyDescent="0.35">
      <c r="A5" s="43" t="s">
        <v>153</v>
      </c>
      <c r="B5" s="1" t="s">
        <v>223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  <c r="E22" s="2" t="s">
        <v>218</v>
      </c>
      <c r="F22" s="2" t="s">
        <v>219</v>
      </c>
      <c r="G22" s="2" t="s">
        <v>220</v>
      </c>
      <c r="H22" s="2" t="s">
        <v>221</v>
      </c>
    </row>
    <row r="23" spans="1:14" ht="14.4" x14ac:dyDescent="0.3">
      <c r="A23" s="7">
        <v>10100</v>
      </c>
      <c r="B23" s="12">
        <v>10102</v>
      </c>
      <c r="C23" s="44" cm="1">
        <f t="array" ref="C23">INDEX($B$10:$J$18,G23,H23)</f>
        <v>95</v>
      </c>
      <c r="E23" s="2" t="str">
        <f>VLOOKUP(A23,M:N,2,0)</f>
        <v>A</v>
      </c>
      <c r="F23" s="2" t="str">
        <f>VLOOKUP(B23,M:N,2,0)</f>
        <v>B</v>
      </c>
      <c r="G23" s="2">
        <f>MATCH(E23,$A$10:$A$18,0)</f>
        <v>1</v>
      </c>
      <c r="H23" s="2">
        <f>MATCH(F23,$B$9:$J$9,0)</f>
        <v>2</v>
      </c>
    </row>
    <row r="24" spans="1:14" ht="14.4" x14ac:dyDescent="0.3">
      <c r="A24" s="7">
        <v>10100</v>
      </c>
      <c r="B24" s="12">
        <v>10104</v>
      </c>
      <c r="C24" s="44" cm="1">
        <f t="array" ref="C24">INDEX($B$10:$J$18,G24,H24)</f>
        <v>-1</v>
      </c>
      <c r="E24" s="2" t="str">
        <f t="shared" ref="E24:E35" si="0">VLOOKUP(A24,M:N,2,0)</f>
        <v>A</v>
      </c>
      <c r="F24" s="2" t="str">
        <f t="shared" ref="F24:F35" si="1">VLOOKUP(B24,M:N,2,0)</f>
        <v>C</v>
      </c>
      <c r="G24" s="2">
        <f t="shared" ref="G24:G35" si="2">MATCH(E24,$A$10:$A$18,0)</f>
        <v>1</v>
      </c>
      <c r="H24" s="2">
        <f t="shared" ref="H24:H35" si="3">MATCH(F24,$B$9:$J$9,0)</f>
        <v>3</v>
      </c>
    </row>
    <row r="25" spans="1:14" ht="14.4" x14ac:dyDescent="0.3">
      <c r="A25" s="7">
        <v>10108</v>
      </c>
      <c r="B25" s="12">
        <v>10102</v>
      </c>
      <c r="C25" s="44" cm="1">
        <f t="array" ref="C25">INDEX($B$10:$J$18,G25,H25)</f>
        <v>160</v>
      </c>
      <c r="E25" s="2" t="str">
        <f t="shared" si="0"/>
        <v>E</v>
      </c>
      <c r="F25" s="2" t="str">
        <f t="shared" si="1"/>
        <v>B</v>
      </c>
      <c r="G25" s="2">
        <f t="shared" si="2"/>
        <v>5</v>
      </c>
      <c r="H25" s="2">
        <f t="shared" si="3"/>
        <v>2</v>
      </c>
    </row>
    <row r="26" spans="1:14" ht="14.4" x14ac:dyDescent="0.3">
      <c r="A26" s="7">
        <v>10100</v>
      </c>
      <c r="B26" s="12">
        <v>10106</v>
      </c>
      <c r="C26" s="44" cm="1">
        <f t="array" ref="C26">INDEX($B$10:$J$18,G26,H26)</f>
        <v>185</v>
      </c>
      <c r="E26" s="2" t="str">
        <f t="shared" si="0"/>
        <v>A</v>
      </c>
      <c r="F26" s="2" t="str">
        <f t="shared" si="1"/>
        <v>D</v>
      </c>
      <c r="G26" s="2">
        <f t="shared" si="2"/>
        <v>1</v>
      </c>
      <c r="H26" s="2">
        <f t="shared" si="3"/>
        <v>4</v>
      </c>
    </row>
    <row r="27" spans="1:14" ht="14.4" x14ac:dyDescent="0.3">
      <c r="A27" s="7">
        <v>10108</v>
      </c>
      <c r="B27" s="12">
        <v>10110</v>
      </c>
      <c r="C27" s="44" cm="1">
        <f t="array" ref="C27">INDEX($B$10:$J$18,G27,H27)</f>
        <v>50</v>
      </c>
      <c r="E27" s="2" t="str">
        <f t="shared" si="0"/>
        <v>E</v>
      </c>
      <c r="F27" s="2" t="str">
        <f t="shared" si="1"/>
        <v>F</v>
      </c>
      <c r="G27" s="2">
        <f t="shared" si="2"/>
        <v>5</v>
      </c>
      <c r="H27" s="2">
        <f t="shared" si="3"/>
        <v>6</v>
      </c>
    </row>
    <row r="28" spans="1:14" ht="14.4" x14ac:dyDescent="0.3">
      <c r="A28" s="7">
        <v>10102</v>
      </c>
      <c r="B28" s="12">
        <v>10104</v>
      </c>
      <c r="C28" s="44" cm="1">
        <f t="array" ref="C28">INDEX($B$10:$J$18,G28,H28)</f>
        <v>-1</v>
      </c>
      <c r="E28" s="2" t="str">
        <f t="shared" si="0"/>
        <v>B</v>
      </c>
      <c r="F28" s="2" t="str">
        <f t="shared" si="1"/>
        <v>C</v>
      </c>
      <c r="G28" s="2">
        <f t="shared" si="2"/>
        <v>2</v>
      </c>
      <c r="H28" s="2">
        <f t="shared" si="3"/>
        <v>3</v>
      </c>
    </row>
    <row r="29" spans="1:14" ht="14.4" x14ac:dyDescent="0.3">
      <c r="A29" s="7">
        <v>10106</v>
      </c>
      <c r="B29" s="12">
        <v>10108</v>
      </c>
      <c r="C29" s="44" cm="1">
        <f t="array" ref="C29">INDEX($B$10:$J$18,G29,H29)</f>
        <v>70</v>
      </c>
      <c r="E29" s="2" t="str">
        <f t="shared" si="0"/>
        <v>D</v>
      </c>
      <c r="F29" s="2" t="str">
        <f t="shared" si="1"/>
        <v>E</v>
      </c>
      <c r="G29" s="2">
        <f t="shared" si="2"/>
        <v>4</v>
      </c>
      <c r="H29" s="2">
        <f t="shared" si="3"/>
        <v>5</v>
      </c>
    </row>
    <row r="30" spans="1:14" ht="14.4" x14ac:dyDescent="0.3">
      <c r="A30" s="7">
        <v>10102</v>
      </c>
      <c r="B30" s="12">
        <v>10106</v>
      </c>
      <c r="C30" s="44" cm="1">
        <f t="array" ref="C30">INDEX($B$10:$J$18,G30,H30)</f>
        <v>90</v>
      </c>
      <c r="E30" s="2" t="str">
        <f t="shared" si="0"/>
        <v>B</v>
      </c>
      <c r="F30" s="2" t="str">
        <f t="shared" si="1"/>
        <v>D</v>
      </c>
      <c r="G30" s="2">
        <f t="shared" si="2"/>
        <v>2</v>
      </c>
      <c r="H30" s="2">
        <f t="shared" si="3"/>
        <v>4</v>
      </c>
    </row>
    <row r="31" spans="1:14" ht="14.4" x14ac:dyDescent="0.3">
      <c r="A31" s="7">
        <v>10110</v>
      </c>
      <c r="B31" s="12">
        <v>10114</v>
      </c>
      <c r="C31" s="44" cm="1">
        <f t="array" ref="C31">INDEX($B$10:$J$18,G31,H31)</f>
        <v>180</v>
      </c>
      <c r="E31" s="2" t="str">
        <f t="shared" si="0"/>
        <v>F</v>
      </c>
      <c r="F31" s="2" t="str">
        <f t="shared" si="1"/>
        <v>H</v>
      </c>
      <c r="G31" s="2">
        <f t="shared" si="2"/>
        <v>6</v>
      </c>
      <c r="H31" s="2">
        <f t="shared" si="3"/>
        <v>8</v>
      </c>
    </row>
    <row r="32" spans="1:14" ht="14.4" x14ac:dyDescent="0.3">
      <c r="A32" s="7">
        <v>10104</v>
      </c>
      <c r="B32" s="12">
        <v>10106</v>
      </c>
      <c r="C32" s="44" cm="1">
        <f t="array" ref="C32">INDEX($B$10:$J$18,G32,H32)</f>
        <v>60</v>
      </c>
      <c r="E32" s="2" t="str">
        <f t="shared" si="0"/>
        <v>C</v>
      </c>
      <c r="F32" s="2" t="str">
        <f t="shared" si="1"/>
        <v>D</v>
      </c>
      <c r="G32" s="2">
        <f t="shared" si="2"/>
        <v>3</v>
      </c>
      <c r="H32" s="2">
        <f t="shared" si="3"/>
        <v>4</v>
      </c>
    </row>
    <row r="33" spans="1:8" ht="14.4" x14ac:dyDescent="0.3">
      <c r="A33" s="7">
        <v>10110</v>
      </c>
      <c r="B33" s="12">
        <v>10112</v>
      </c>
      <c r="C33" s="44" cm="1">
        <f t="array" ref="C33">INDEX($B$10:$J$18,G33,H33)</f>
        <v>115</v>
      </c>
      <c r="E33" s="2" t="str">
        <f t="shared" si="0"/>
        <v>F</v>
      </c>
      <c r="F33" s="2" t="str">
        <f t="shared" si="1"/>
        <v>G</v>
      </c>
      <c r="G33" s="2">
        <f t="shared" si="2"/>
        <v>6</v>
      </c>
      <c r="H33" s="2">
        <f t="shared" si="3"/>
        <v>7</v>
      </c>
    </row>
    <row r="34" spans="1:8" ht="14.4" x14ac:dyDescent="0.3">
      <c r="A34" s="7">
        <v>10100</v>
      </c>
      <c r="B34" s="12">
        <v>10114</v>
      </c>
      <c r="C34" s="44" cm="1">
        <f t="array" ref="C34">INDEX($B$10:$J$18,G34,H34)</f>
        <v>480</v>
      </c>
      <c r="E34" s="2" t="str">
        <f t="shared" si="0"/>
        <v>A</v>
      </c>
      <c r="F34" s="2" t="str">
        <f t="shared" si="1"/>
        <v>H</v>
      </c>
      <c r="G34" s="2">
        <f t="shared" si="2"/>
        <v>1</v>
      </c>
      <c r="H34" s="2">
        <f t="shared" si="3"/>
        <v>8</v>
      </c>
    </row>
    <row r="35" spans="1:8" ht="14.4" x14ac:dyDescent="0.3">
      <c r="A35" s="9">
        <v>10112</v>
      </c>
      <c r="B35" s="13">
        <v>10116</v>
      </c>
      <c r="C35" s="44" cm="1">
        <f t="array" ref="C35">INDEX($B$10:$J$18,G35,H35)</f>
        <v>105</v>
      </c>
      <c r="E35" s="2" t="str">
        <f t="shared" si="0"/>
        <v>G</v>
      </c>
      <c r="F35" s="2" t="str">
        <f t="shared" si="1"/>
        <v>I</v>
      </c>
      <c r="G35" s="2">
        <f t="shared" si="2"/>
        <v>7</v>
      </c>
      <c r="H35" s="2">
        <f t="shared" si="3"/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Rushikesh Patil</cp:lastModifiedBy>
  <dcterms:created xsi:type="dcterms:W3CDTF">2015-02-10T17:33:11Z</dcterms:created>
  <dcterms:modified xsi:type="dcterms:W3CDTF">2023-12-10T13:13:45Z</dcterms:modified>
</cp:coreProperties>
</file>